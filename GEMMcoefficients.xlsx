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ealehatem\Documents\GitHub\ArmeniaPollutionAnalysis\"/>
    </mc:Choice>
  </mc:AlternateContent>
  <xr:revisionPtr revIDLastSave="0" documentId="13_ncr:1_{FAF2BCF7-8547-43EA-95D1-BFFDC5160861}" xr6:coauthVersionLast="36" xr6:coauthVersionMax="36" xr10:uidLastSave="{00000000-0000-0000-0000-000000000000}"/>
  <bookViews>
    <workbookView xWindow="0" yWindow="0" windowWidth="28800" windowHeight="12225" xr2:uid="{98E4048D-D119-4505-BEB0-177652126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  <c r="I2" i="1"/>
  <c r="H2" i="1"/>
  <c r="H14" i="1"/>
</calcChain>
</file>

<file path=xl/sharedStrings.xml><?xml version="1.0" encoding="utf-8"?>
<sst xmlns="http://schemas.openxmlformats.org/spreadsheetml/2006/main" count="86" uniqueCount="24">
  <si>
    <t>NCD+LRI</t>
  </si>
  <si>
    <t>IHD</t>
  </si>
  <si>
    <t>Stroke</t>
  </si>
  <si>
    <t>Theta</t>
  </si>
  <si>
    <t>Theta standard error</t>
  </si>
  <si>
    <t>Alpha</t>
  </si>
  <si>
    <t>mu</t>
  </si>
  <si>
    <t>v</t>
  </si>
  <si>
    <t>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</si>
  <si>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</si>
  <si>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</si>
  <si>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</si>
  <si>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</si>
  <si>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</si>
  <si>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</si>
  <si>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</si>
  <si>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</si>
  <si>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</si>
  <si>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</si>
  <si>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</si>
  <si>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80+</t>
  </si>
  <si>
    <t>Population23</t>
  </si>
  <si>
    <t>Baseline deaths23</t>
  </si>
  <si>
    <t>Death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</si>
</sst>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C24D-A40F-4385-8E2F-B12327405D40}">
  <dimension ref="A1:J40"/>
  <sheetViews>
    <sheetView tabSelected="1" workbookViewId="0">
      <selection activeCell="K14" sqref="K14"/>
    </sheetView>
  </sheetViews>
  <sheetFormatPr defaultRowHeight="15" x14ac:dyDescent="0.25"/>
  <sheetData>
    <row r="1" spans="1:10" x14ac:dyDescent="0.25"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22</v>
      </c>
      <c r="I1" t="s">
        <v>21</v>
      </c>
      <c r="J1" t="s">
        <v>23</v>
      </c>
    </row>
    <row r="2" spans="1:10" x14ac:dyDescent="0.25">
      <c r="A2" t="s">
        <v>0</v>
      </c>
      <c r="B2" t="s">
        <v>8</v>
      </c>
      <c r="C2">
        <v>0.14299999999999999</v>
      </c>
      <c r="D2">
        <v>1.8069999999999999E-2</v>
      </c>
      <c r="E2">
        <v>1.6</v>
      </c>
      <c r="F2">
        <v>15.5</v>
      </c>
      <c r="G2">
        <v>36.799999999999997</v>
      </c>
      <c r="H2">
        <f>286+46+47+83+104</f>
        <v>566</v>
      </c>
      <c r="I2">
        <f>176300+193300+194300+166300+157300</f>
        <v>887500</v>
      </c>
      <c r="J2">
        <f>H2/I2</f>
        <v>6.3774647887323947E-4</v>
      </c>
    </row>
    <row r="3" spans="1:10" x14ac:dyDescent="0.25">
      <c r="A3" t="s">
        <v>0</v>
      </c>
      <c r="B3" t="s">
        <v>9</v>
      </c>
      <c r="C3">
        <v>0.1585</v>
      </c>
      <c r="D3">
        <v>1.477E-2</v>
      </c>
      <c r="E3">
        <v>1.6</v>
      </c>
      <c r="F3">
        <v>15.5</v>
      </c>
      <c r="G3">
        <v>36.799999999999997</v>
      </c>
      <c r="H3">
        <v>116</v>
      </c>
      <c r="I3">
        <v>181100</v>
      </c>
      <c r="J3">
        <f t="shared" ref="J3:J14" si="0">H3/I3</f>
        <v>6.4053009387078966E-4</v>
      </c>
    </row>
    <row r="4" spans="1:10" x14ac:dyDescent="0.25">
      <c r="A4" t="s">
        <v>0</v>
      </c>
      <c r="B4" t="s">
        <v>10</v>
      </c>
      <c r="C4">
        <v>0.15770000000000001</v>
      </c>
      <c r="D4">
        <v>1.47E-2</v>
      </c>
      <c r="E4">
        <v>1.6</v>
      </c>
      <c r="F4">
        <v>15.5</v>
      </c>
      <c r="G4">
        <v>36.799999999999997</v>
      </c>
      <c r="H4">
        <v>181</v>
      </c>
      <c r="I4">
        <v>234200</v>
      </c>
      <c r="J4">
        <f t="shared" si="0"/>
        <v>7.7284372331340738E-4</v>
      </c>
    </row>
    <row r="5" spans="1:10" x14ac:dyDescent="0.25">
      <c r="A5" t="s">
        <v>0</v>
      </c>
      <c r="B5" t="s">
        <v>11</v>
      </c>
      <c r="C5">
        <v>0.157</v>
      </c>
      <c r="D5">
        <v>1.4630000000000001E-2</v>
      </c>
      <c r="E5">
        <v>1.6</v>
      </c>
      <c r="F5">
        <v>15.5</v>
      </c>
      <c r="G5">
        <v>36.799999999999997</v>
      </c>
      <c r="H5">
        <v>242</v>
      </c>
      <c r="I5">
        <v>224800</v>
      </c>
      <c r="J5">
        <f t="shared" si="0"/>
        <v>1.0765124555160142E-3</v>
      </c>
    </row>
    <row r="6" spans="1:10" x14ac:dyDescent="0.25">
      <c r="A6" t="s">
        <v>0</v>
      </c>
      <c r="B6" t="s">
        <v>12</v>
      </c>
      <c r="C6">
        <v>0.15579999999999999</v>
      </c>
      <c r="D6">
        <v>1.4500000000000001E-2</v>
      </c>
      <c r="E6">
        <v>1.6</v>
      </c>
      <c r="F6">
        <v>15.5</v>
      </c>
      <c r="G6">
        <v>36.799999999999997</v>
      </c>
      <c r="H6">
        <v>347</v>
      </c>
      <c r="I6">
        <v>202600</v>
      </c>
      <c r="J6">
        <f t="shared" si="0"/>
        <v>1.7127344521224088E-3</v>
      </c>
    </row>
    <row r="7" spans="1:10" x14ac:dyDescent="0.25">
      <c r="A7" t="s">
        <v>0</v>
      </c>
      <c r="B7" t="s">
        <v>13</v>
      </c>
      <c r="C7">
        <v>0.1532</v>
      </c>
      <c r="D7">
        <v>1.4250000000000001E-2</v>
      </c>
      <c r="E7">
        <v>1.6</v>
      </c>
      <c r="F7">
        <v>15.5</v>
      </c>
      <c r="G7">
        <v>36.799999999999997</v>
      </c>
      <c r="H7">
        <v>500</v>
      </c>
      <c r="I7">
        <v>170400</v>
      </c>
      <c r="J7">
        <f t="shared" si="0"/>
        <v>2.9342723004694834E-3</v>
      </c>
    </row>
    <row r="8" spans="1:10" x14ac:dyDescent="0.25">
      <c r="A8" t="s">
        <v>0</v>
      </c>
      <c r="B8" t="s">
        <v>14</v>
      </c>
      <c r="C8">
        <v>0.14990000000000001</v>
      </c>
      <c r="D8">
        <v>1.3939999999999999E-2</v>
      </c>
      <c r="E8">
        <v>1.6</v>
      </c>
      <c r="F8">
        <v>15.5</v>
      </c>
      <c r="G8">
        <v>36.799999999999997</v>
      </c>
      <c r="H8">
        <v>736</v>
      </c>
      <c r="I8">
        <v>163000</v>
      </c>
      <c r="J8">
        <f t="shared" si="0"/>
        <v>4.5153374233128834E-3</v>
      </c>
    </row>
    <row r="9" spans="1:10" x14ac:dyDescent="0.25">
      <c r="A9" t="s">
        <v>0</v>
      </c>
      <c r="B9" t="s">
        <v>15</v>
      </c>
      <c r="C9">
        <v>0.1462</v>
      </c>
      <c r="D9">
        <v>1.3610000000000001E-2</v>
      </c>
      <c r="E9">
        <v>1.6</v>
      </c>
      <c r="F9">
        <v>15.5</v>
      </c>
      <c r="G9">
        <v>36.799999999999997</v>
      </c>
      <c r="H9">
        <v>1304</v>
      </c>
      <c r="I9">
        <v>183600</v>
      </c>
      <c r="J9">
        <f t="shared" si="0"/>
        <v>7.1023965141612201E-3</v>
      </c>
    </row>
    <row r="10" spans="1:10" x14ac:dyDescent="0.25">
      <c r="A10" t="s">
        <v>0</v>
      </c>
      <c r="B10" t="s">
        <v>16</v>
      </c>
      <c r="C10">
        <v>0.1421</v>
      </c>
      <c r="D10">
        <v>1.325E-2</v>
      </c>
      <c r="E10">
        <v>1.6</v>
      </c>
      <c r="F10">
        <v>15.5</v>
      </c>
      <c r="G10">
        <v>36.799999999999997</v>
      </c>
      <c r="H10">
        <v>2403</v>
      </c>
      <c r="I10">
        <v>229300</v>
      </c>
      <c r="J10">
        <f t="shared" si="0"/>
        <v>1.0479720889664196E-2</v>
      </c>
    </row>
    <row r="11" spans="1:10" x14ac:dyDescent="0.25">
      <c r="A11" t="s">
        <v>0</v>
      </c>
      <c r="B11" t="s">
        <v>17</v>
      </c>
      <c r="C11">
        <v>0.13739999999999999</v>
      </c>
      <c r="D11">
        <v>1.2840000000000001E-2</v>
      </c>
      <c r="E11">
        <v>1.6</v>
      </c>
      <c r="F11">
        <v>15.5</v>
      </c>
      <c r="G11">
        <v>36.799999999999997</v>
      </c>
      <c r="H11">
        <v>2952</v>
      </c>
      <c r="I11">
        <v>182500</v>
      </c>
      <c r="J11">
        <f t="shared" si="0"/>
        <v>1.6175342465753424E-2</v>
      </c>
    </row>
    <row r="12" spans="1:10" x14ac:dyDescent="0.25">
      <c r="A12" t="s">
        <v>0</v>
      </c>
      <c r="B12" t="s">
        <v>18</v>
      </c>
      <c r="C12">
        <v>0.13189999999999999</v>
      </c>
      <c r="D12">
        <v>1.234E-2</v>
      </c>
      <c r="E12">
        <v>1.6</v>
      </c>
      <c r="F12">
        <v>15.5</v>
      </c>
      <c r="G12">
        <v>36.799999999999997</v>
      </c>
      <c r="H12">
        <v>3252</v>
      </c>
      <c r="I12">
        <v>130700</v>
      </c>
      <c r="J12">
        <f t="shared" si="0"/>
        <v>2.4881407804131599E-2</v>
      </c>
    </row>
    <row r="13" spans="1:10" x14ac:dyDescent="0.25">
      <c r="A13" t="s">
        <v>0</v>
      </c>
      <c r="B13" t="s">
        <v>19</v>
      </c>
      <c r="C13">
        <v>0.12529999999999999</v>
      </c>
      <c r="D13">
        <v>1.174E-2</v>
      </c>
      <c r="E13">
        <v>1.6</v>
      </c>
      <c r="F13">
        <v>15.5</v>
      </c>
      <c r="G13">
        <v>36.799999999999997</v>
      </c>
      <c r="H13">
        <v>2400</v>
      </c>
      <c r="I13">
        <v>57300</v>
      </c>
      <c r="J13">
        <f t="shared" si="0"/>
        <v>4.1884816753926704E-2</v>
      </c>
    </row>
    <row r="14" spans="1:10" x14ac:dyDescent="0.25">
      <c r="A14" t="s">
        <v>0</v>
      </c>
      <c r="B14" t="s">
        <v>20</v>
      </c>
      <c r="C14">
        <v>0.11409999999999999</v>
      </c>
      <c r="D14">
        <v>1.0710000000000001E-2</v>
      </c>
      <c r="E14">
        <v>1.6</v>
      </c>
      <c r="F14">
        <v>15.5</v>
      </c>
      <c r="G14">
        <v>36.799999999999997</v>
      </c>
      <c r="H14">
        <f>3656+5658</f>
        <v>9314</v>
      </c>
      <c r="I14">
        <v>90700</v>
      </c>
      <c r="J14">
        <f t="shared" si="0"/>
        <v>0.10269018743109151</v>
      </c>
    </row>
    <row r="15" spans="1:10" x14ac:dyDescent="0.25">
      <c r="A15" t="s">
        <v>1</v>
      </c>
      <c r="B15" t="s">
        <v>8</v>
      </c>
      <c r="C15">
        <v>0.2969</v>
      </c>
      <c r="D15">
        <v>1.787E-2</v>
      </c>
      <c r="E15">
        <v>1.9</v>
      </c>
      <c r="F15">
        <v>12</v>
      </c>
      <c r="G15">
        <v>40.200000000000003</v>
      </c>
    </row>
    <row r="16" spans="1:10" x14ac:dyDescent="0.25">
      <c r="A16" t="s">
        <v>1</v>
      </c>
      <c r="B16" t="s">
        <v>9</v>
      </c>
      <c r="C16">
        <v>0.50700000000000001</v>
      </c>
      <c r="D16">
        <v>2.4580000000000001E-2</v>
      </c>
      <c r="E16">
        <v>1.9</v>
      </c>
      <c r="F16">
        <v>12</v>
      </c>
      <c r="G16">
        <v>40.200000000000003</v>
      </c>
    </row>
    <row r="17" spans="1:7" x14ac:dyDescent="0.25">
      <c r="A17" t="s">
        <v>1</v>
      </c>
      <c r="B17" t="s">
        <v>10</v>
      </c>
      <c r="C17">
        <v>0.47620000000000001</v>
      </c>
      <c r="D17">
        <v>2.3089999999999999E-2</v>
      </c>
      <c r="E17">
        <v>1.9</v>
      </c>
      <c r="F17">
        <v>12</v>
      </c>
      <c r="G17">
        <v>40.200000000000003</v>
      </c>
    </row>
    <row r="18" spans="1:7" x14ac:dyDescent="0.25">
      <c r="A18" t="s">
        <v>1</v>
      </c>
      <c r="B18" t="s">
        <v>11</v>
      </c>
      <c r="C18">
        <v>0.44550000000000001</v>
      </c>
      <c r="D18">
        <v>2.1600000000000001E-2</v>
      </c>
      <c r="E18">
        <v>1.9</v>
      </c>
      <c r="F18">
        <v>12</v>
      </c>
      <c r="G18">
        <v>40.200000000000003</v>
      </c>
    </row>
    <row r="19" spans="1:7" x14ac:dyDescent="0.25">
      <c r="A19" t="s">
        <v>1</v>
      </c>
      <c r="B19" t="s">
        <v>12</v>
      </c>
      <c r="C19">
        <v>0.4148</v>
      </c>
      <c r="D19">
        <v>2.0109999999999999E-2</v>
      </c>
      <c r="E19">
        <v>1.9</v>
      </c>
      <c r="F19">
        <v>12</v>
      </c>
      <c r="G19">
        <v>40.200000000000003</v>
      </c>
    </row>
    <row r="20" spans="1:7" x14ac:dyDescent="0.25">
      <c r="A20" t="s">
        <v>1</v>
      </c>
      <c r="B20" t="s">
        <v>13</v>
      </c>
      <c r="C20">
        <v>3841</v>
      </c>
      <c r="D20">
        <v>1.8620000000000001E-2</v>
      </c>
      <c r="E20">
        <v>1.9</v>
      </c>
      <c r="F20">
        <v>12</v>
      </c>
      <c r="G20">
        <v>40.200000000000003</v>
      </c>
    </row>
    <row r="21" spans="1:7" x14ac:dyDescent="0.25">
      <c r="A21" t="s">
        <v>1</v>
      </c>
      <c r="B21" t="s">
        <v>14</v>
      </c>
      <c r="C21">
        <v>0.3533</v>
      </c>
      <c r="D21">
        <v>1.7129999999999999E-2</v>
      </c>
      <c r="E21">
        <v>1.9</v>
      </c>
      <c r="F21">
        <v>12</v>
      </c>
      <c r="G21">
        <v>40.200000000000003</v>
      </c>
    </row>
    <row r="22" spans="1:7" x14ac:dyDescent="0.25">
      <c r="A22" t="s">
        <v>1</v>
      </c>
      <c r="B22" t="s">
        <v>15</v>
      </c>
      <c r="C22">
        <v>0.3226</v>
      </c>
      <c r="D22">
        <v>1.5640000000000001E-2</v>
      </c>
      <c r="E22">
        <v>1.9</v>
      </c>
      <c r="F22">
        <v>12</v>
      </c>
      <c r="G22">
        <v>40.200000000000003</v>
      </c>
    </row>
    <row r="23" spans="1:7" x14ac:dyDescent="0.25">
      <c r="A23" t="s">
        <v>1</v>
      </c>
      <c r="B23" t="s">
        <v>16</v>
      </c>
      <c r="C23">
        <v>0.29189999999999999</v>
      </c>
      <c r="D23">
        <v>1.4149999999999999E-2</v>
      </c>
      <c r="E23">
        <v>1.9</v>
      </c>
      <c r="F23">
        <v>12</v>
      </c>
      <c r="G23">
        <v>40.200000000000003</v>
      </c>
    </row>
    <row r="24" spans="1:7" x14ac:dyDescent="0.25">
      <c r="A24" t="s">
        <v>1</v>
      </c>
      <c r="B24" t="s">
        <v>17</v>
      </c>
      <c r="C24">
        <v>0.26119999999999999</v>
      </c>
      <c r="D24">
        <v>1.2659999999999999E-2</v>
      </c>
      <c r="E24">
        <v>1.9</v>
      </c>
      <c r="F24">
        <v>12</v>
      </c>
      <c r="G24">
        <v>40.200000000000003</v>
      </c>
    </row>
    <row r="25" spans="1:7" x14ac:dyDescent="0.25">
      <c r="A25" t="s">
        <v>1</v>
      </c>
      <c r="B25" t="s">
        <v>18</v>
      </c>
      <c r="C25">
        <v>0.23039999999999999</v>
      </c>
      <c r="D25">
        <v>1.1169999999999999E-2</v>
      </c>
      <c r="E25">
        <v>1.9</v>
      </c>
      <c r="F25">
        <v>12</v>
      </c>
      <c r="G25">
        <v>40.200000000000003</v>
      </c>
    </row>
    <row r="26" spans="1:7" x14ac:dyDescent="0.25">
      <c r="A26" t="s">
        <v>1</v>
      </c>
      <c r="B26" t="s">
        <v>19</v>
      </c>
      <c r="C26">
        <v>0.19969999999999999</v>
      </c>
      <c r="D26">
        <v>9.6799999999999994E-3</v>
      </c>
      <c r="E26">
        <v>1.9</v>
      </c>
      <c r="F26">
        <v>12</v>
      </c>
      <c r="G26">
        <v>40.200000000000003</v>
      </c>
    </row>
    <row r="27" spans="1:7" x14ac:dyDescent="0.25">
      <c r="A27" t="s">
        <v>1</v>
      </c>
      <c r="B27" t="s">
        <v>20</v>
      </c>
      <c r="C27">
        <v>0.15359999999999999</v>
      </c>
      <c r="D27">
        <v>7.45E-3</v>
      </c>
      <c r="E27">
        <v>1.9</v>
      </c>
      <c r="F27">
        <v>12</v>
      </c>
      <c r="G27">
        <v>40.200000000000003</v>
      </c>
    </row>
    <row r="28" spans="1:7" x14ac:dyDescent="0.25">
      <c r="A28" t="s">
        <v>2</v>
      </c>
      <c r="B28" t="s">
        <v>8</v>
      </c>
      <c r="C28">
        <v>0.27200000000000002</v>
      </c>
      <c r="D28">
        <v>7.6969999999999997E-2</v>
      </c>
      <c r="E28">
        <v>6.2</v>
      </c>
      <c r="F28">
        <v>16.7</v>
      </c>
      <c r="G28">
        <v>23.7</v>
      </c>
    </row>
    <row r="29" spans="1:7" x14ac:dyDescent="0.25">
      <c r="A29" t="s">
        <v>2</v>
      </c>
      <c r="B29" t="s">
        <v>9</v>
      </c>
      <c r="C29">
        <v>0.45129999999999998</v>
      </c>
      <c r="D29">
        <v>0.11919</v>
      </c>
      <c r="E29">
        <v>6.2</v>
      </c>
      <c r="F29">
        <v>16.7</v>
      </c>
      <c r="G29">
        <v>23.7</v>
      </c>
    </row>
    <row r="30" spans="1:7" x14ac:dyDescent="0.25">
      <c r="A30" t="s">
        <v>2</v>
      </c>
      <c r="B30" t="s">
        <v>10</v>
      </c>
      <c r="C30">
        <v>0.42399999999999999</v>
      </c>
      <c r="D30">
        <v>0.11197</v>
      </c>
      <c r="E30">
        <v>6.2</v>
      </c>
      <c r="F30">
        <v>16.7</v>
      </c>
      <c r="G30">
        <v>23.7</v>
      </c>
    </row>
    <row r="31" spans="1:7" x14ac:dyDescent="0.25">
      <c r="A31" t="s">
        <v>2</v>
      </c>
      <c r="B31" t="s">
        <v>11</v>
      </c>
      <c r="C31">
        <v>0.39660000000000001</v>
      </c>
      <c r="D31">
        <v>0.10475</v>
      </c>
      <c r="E31">
        <v>6.2</v>
      </c>
      <c r="F31">
        <v>16.7</v>
      </c>
      <c r="G31">
        <v>23.7</v>
      </c>
    </row>
    <row r="32" spans="1:7" x14ac:dyDescent="0.25">
      <c r="A32" t="s">
        <v>2</v>
      </c>
      <c r="B32" t="s">
        <v>12</v>
      </c>
      <c r="C32">
        <v>0.36930000000000002</v>
      </c>
      <c r="D32">
        <v>9.7519999999999996E-2</v>
      </c>
      <c r="E32">
        <v>6.2</v>
      </c>
      <c r="F32">
        <v>16.7</v>
      </c>
      <c r="G32">
        <v>23.7</v>
      </c>
    </row>
    <row r="33" spans="1:7" x14ac:dyDescent="0.25">
      <c r="A33" t="s">
        <v>2</v>
      </c>
      <c r="B33" t="s">
        <v>13</v>
      </c>
      <c r="C33">
        <v>0.34189999999999998</v>
      </c>
      <c r="D33">
        <v>9.0300000000000005E-2</v>
      </c>
      <c r="E33">
        <v>6.2</v>
      </c>
      <c r="F33">
        <v>16.7</v>
      </c>
      <c r="G33">
        <v>23.7</v>
      </c>
    </row>
    <row r="34" spans="1:7" x14ac:dyDescent="0.25">
      <c r="A34" t="s">
        <v>2</v>
      </c>
      <c r="B34" t="s">
        <v>14</v>
      </c>
      <c r="C34">
        <v>0.31459999999999999</v>
      </c>
      <c r="D34">
        <v>8.3070000000000005E-2</v>
      </c>
      <c r="E34">
        <v>6.2</v>
      </c>
      <c r="F34">
        <v>16.7</v>
      </c>
      <c r="G34">
        <v>23.7</v>
      </c>
    </row>
    <row r="35" spans="1:7" x14ac:dyDescent="0.25">
      <c r="A35" t="s">
        <v>2</v>
      </c>
      <c r="B35" t="s">
        <v>15</v>
      </c>
      <c r="C35">
        <v>0.28720000000000001</v>
      </c>
      <c r="D35">
        <v>7.5850000000000001E-2</v>
      </c>
      <c r="E35">
        <v>6.2</v>
      </c>
      <c r="F35">
        <v>16.7</v>
      </c>
      <c r="G35">
        <v>23.7</v>
      </c>
    </row>
    <row r="36" spans="1:7" x14ac:dyDescent="0.25">
      <c r="A36" t="s">
        <v>2</v>
      </c>
      <c r="B36" t="s">
        <v>16</v>
      </c>
      <c r="C36">
        <v>0.25979999999999998</v>
      </c>
      <c r="D36">
        <v>6.8629999999999997E-2</v>
      </c>
      <c r="E36">
        <v>6.2</v>
      </c>
      <c r="F36">
        <v>16.7</v>
      </c>
      <c r="G36">
        <v>23.7</v>
      </c>
    </row>
    <row r="37" spans="1:7" x14ac:dyDescent="0.25">
      <c r="A37" t="s">
        <v>2</v>
      </c>
      <c r="B37" t="s">
        <v>17</v>
      </c>
      <c r="C37">
        <v>0.23250000000000001</v>
      </c>
      <c r="D37">
        <v>6.1899999999999997E-2</v>
      </c>
      <c r="E37">
        <v>6.2</v>
      </c>
      <c r="F37">
        <v>16.7</v>
      </c>
      <c r="G37">
        <v>23.7</v>
      </c>
    </row>
    <row r="38" spans="1:7" x14ac:dyDescent="0.25">
      <c r="A38" t="s">
        <v>2</v>
      </c>
      <c r="B38" t="s">
        <v>18</v>
      </c>
      <c r="C38">
        <v>0.2051</v>
      </c>
      <c r="D38">
        <v>5.4179999999999999E-2</v>
      </c>
      <c r="E38">
        <v>6.2</v>
      </c>
      <c r="F38">
        <v>16.7</v>
      </c>
      <c r="G38">
        <v>23.7</v>
      </c>
    </row>
    <row r="39" spans="1:7" x14ac:dyDescent="0.25">
      <c r="A39" t="s">
        <v>2</v>
      </c>
      <c r="B39" t="s">
        <v>19</v>
      </c>
      <c r="C39">
        <v>0.17780000000000001</v>
      </c>
      <c r="D39">
        <v>4.6949999999999999E-2</v>
      </c>
      <c r="E39">
        <v>6.2</v>
      </c>
      <c r="F39">
        <v>16.7</v>
      </c>
      <c r="G39">
        <v>23.7</v>
      </c>
    </row>
    <row r="40" spans="1:7" x14ac:dyDescent="0.25">
      <c r="A40" t="s">
        <v>2</v>
      </c>
      <c r="B40" t="s">
        <v>20</v>
      </c>
      <c r="C40">
        <v>0.1368</v>
      </c>
      <c r="D40">
        <v>3.6110000000000003E-2</v>
      </c>
      <c r="E40">
        <v>6.2</v>
      </c>
      <c r="F40">
        <v>16.7</v>
      </c>
      <c r="G40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Reale-Hatem</dc:creator>
  <cp:lastModifiedBy>Matthew Reale-Hatem</cp:lastModifiedBy>
  <dcterms:created xsi:type="dcterms:W3CDTF">2025-11-04T13:49:30Z</dcterms:created>
  <dcterms:modified xsi:type="dcterms:W3CDTF">2025-11-20T09:04:17Z</dcterms:modified>
</cp:coreProperties>
</file>